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felipe_hanada_portalsesisp_org_br/Documents/"/>
    </mc:Choice>
  </mc:AlternateContent>
  <xr:revisionPtr revIDLastSave="343" documentId="13_ncr:1_{D7EE7F30-F107-4019-8542-134BAFEE59D0}" xr6:coauthVersionLast="47" xr6:coauthVersionMax="47" xr10:uidLastSave="{53606D3D-476A-4854-A504-2F36EE7FB1F8}"/>
  <bookViews>
    <workbookView xWindow="-120" yWindow="-120" windowWidth="29040" windowHeight="15840" activeTab="3" xr2:uid="{C9C6767F-CB48-4860-B73F-1B467348A163}"/>
  </bookViews>
  <sheets>
    <sheet name="Nossa Senhora de Fátima" sheetId="1" r:id="rId1"/>
    <sheet name="Bartolomeu Gusmão" sheetId="2" r:id="rId2"/>
    <sheet name="Almirante Saldanha da Gama" sheetId="3" r:id="rId3"/>
    <sheet name="RELATÓRIO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/>
  <c r="C3" i="7"/>
  <c r="B3" i="7"/>
  <c r="D2" i="7"/>
  <c r="C2" i="7"/>
  <c r="B2" i="7"/>
  <c r="I3" i="3"/>
  <c r="H3" i="3"/>
  <c r="G3" i="3"/>
  <c r="I2" i="3"/>
  <c r="H2" i="3"/>
  <c r="G2" i="3"/>
  <c r="I3" i="1"/>
  <c r="H3" i="1"/>
  <c r="G3" i="1"/>
  <c r="I2" i="1"/>
  <c r="H2" i="1"/>
  <c r="G2" i="1"/>
  <c r="I3" i="2"/>
  <c r="H3" i="2"/>
  <c r="G3" i="2"/>
  <c r="I2" i="2"/>
  <c r="H2" i="2"/>
  <c r="G2" i="2"/>
</calcChain>
</file>

<file path=xl/sharedStrings.xml><?xml version="1.0" encoding="utf-8"?>
<sst xmlns="http://schemas.openxmlformats.org/spreadsheetml/2006/main" count="240" uniqueCount="63">
  <si>
    <t>Sinalização Semafórica</t>
  </si>
  <si>
    <t>Presença de Câmeras</t>
  </si>
  <si>
    <t>Sinalização (Semáforo Inteligente)</t>
  </si>
  <si>
    <t>AVENIDA NOSSA SENHORA DE FÁTIMA</t>
  </si>
  <si>
    <t>Rua Itanhaém</t>
  </si>
  <si>
    <t>Rua João de Souza Lima</t>
  </si>
  <si>
    <t>Rua Ana Santos</t>
  </si>
  <si>
    <t>Rua Boris Kauffmann</t>
  </si>
  <si>
    <t>Rua João Morerira Salles</t>
  </si>
  <si>
    <t>Rua Júlia Ferreira de Carvalho</t>
  </si>
  <si>
    <t>Rua Doutor Paulo di Giovanni</t>
  </si>
  <si>
    <t>Rua Miguel Rocha Corrêa</t>
  </si>
  <si>
    <t>Rua Maria Patrícia</t>
  </si>
  <si>
    <t>Rua Professor Agenor de Andrade</t>
  </si>
  <si>
    <t>Rua José Monteiro</t>
  </si>
  <si>
    <t>Rua Indalécio de Arrude Costa</t>
  </si>
  <si>
    <t>Rua Álvaro Pinto da Silva Novaes Filho</t>
  </si>
  <si>
    <t>Rua Viriato Correa da Costa</t>
  </si>
  <si>
    <t>Rua Ângelo Martins Melero</t>
  </si>
  <si>
    <t>Rua Pastor Júlio Dantas (Caneleira)</t>
  </si>
  <si>
    <t>Rua Professor Francisco Domênico</t>
  </si>
  <si>
    <t>Rua Arlindo de Aguiar Júnior</t>
  </si>
  <si>
    <t>Rua Tomoichi Kobuchi</t>
  </si>
  <si>
    <t>Rua Domingos José Martins</t>
  </si>
  <si>
    <t>Rua Vereador Remo Petrarchi</t>
  </si>
  <si>
    <t>Praça Engenheiro José Demar Peres</t>
  </si>
  <si>
    <t>Rua José Vergara</t>
  </si>
  <si>
    <t>Avenida Engenheiro Manoel Ferramenta Júnior</t>
  </si>
  <si>
    <t>Rua Gastão Bousquet</t>
  </si>
  <si>
    <t>Avenida Afonso Schmidt</t>
  </si>
  <si>
    <t>SIM</t>
  </si>
  <si>
    <t>NÃO</t>
  </si>
  <si>
    <t>AVENIDA BARTOLOMEU GUSMÃO</t>
  </si>
  <si>
    <t>Av. Siqueira Campos</t>
  </si>
  <si>
    <t>Rua Nascimento</t>
  </si>
  <si>
    <t>Rua Padre Visconti</t>
  </si>
  <si>
    <t>Rua Oswaldo Cochrane</t>
  </si>
  <si>
    <t>Rua Sampaio Moreira</t>
  </si>
  <si>
    <t>Av. Almirante Cochrane</t>
  </si>
  <si>
    <t>Rua Dona Anália Franco</t>
  </si>
  <si>
    <t>Rua Alexandre Martins</t>
  </si>
  <si>
    <t>Rua Gen. Rondon</t>
  </si>
  <si>
    <t>Rua Januário dos Santos</t>
  </si>
  <si>
    <t>Rua Ricardo Pinto</t>
  </si>
  <si>
    <t>Av. Cel. Joaquim Montenegro</t>
  </si>
  <si>
    <t>Rua Bassim Nagib Trabulsi</t>
  </si>
  <si>
    <t>Rua Sroberto Sandall</t>
  </si>
  <si>
    <t>Rua Inglaterra</t>
  </si>
  <si>
    <t>Rua Isidoro José Ribeiro de Campos</t>
  </si>
  <si>
    <t>Rua Imperatriz Leopoldina</t>
  </si>
  <si>
    <t>Rua Carlos de Campos</t>
  </si>
  <si>
    <t>Rua Afonso Celso de Paula Lima</t>
  </si>
  <si>
    <t>Rua Francisco Haiden</t>
  </si>
  <si>
    <t>Rua Capitão João Salermo</t>
  </si>
  <si>
    <t>Rua Min. Daniel de Carvalho</t>
  </si>
  <si>
    <t>Rua Antonio Guenaga</t>
  </si>
  <si>
    <t>Av. Rei Alberto I</t>
  </si>
  <si>
    <t>Avenida Haroldo de Camargo</t>
  </si>
  <si>
    <t>PRESENÇA</t>
  </si>
  <si>
    <t>Câmeras</t>
  </si>
  <si>
    <t>Ruas com</t>
  </si>
  <si>
    <t>Ruas sem</t>
  </si>
  <si>
    <t>AVENIDA ALMIRANTE SALDANHA DA 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</si>
</sst>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wrapText="1"/>
    </xf>
    <xf numFmtId="0" fontId="6" fillId="0" borderId="0" xfId="0" applyFont="1" applyBorder="1"/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AVENIDA NOSSA SENHORA DE FÁTIMA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'Nossa Senhora de Fátima'!$F$2</c:f>
              <c:strCache>
                <c:ptCount val="1"/>
                <c:pt idx="0">
                  <c:v>Ruas 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'Nossa Senhora de Fátima'!$G$1:$I$1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'Nossa Senhora de Fátima'!$G$2:$I$2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F-48DD-8153-BD8D4B75EFF9}"/>
            </c:ext>
          </c:extLst>
        </c:ser>
        <c:ser>
          <c:idx val="1"/>
          <c:order val="1"/>
          <c:tx>
            <c:strRef>
              <c:f>'Nossa Senhora de Fátima'!$F$3</c:f>
              <c:strCache>
                <c:ptCount val="1"/>
                <c:pt idx="0">
                  <c:v>Ruas sem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'Nossa Senhora de Fátima'!$G$1:$I$1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'Nossa Senhora de Fátima'!$G$3:$I$3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F-48DD-8153-BD8D4B75EF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94241472"/>
        <c:axId val="2094232736"/>
      </c:barChart>
      <c:catAx>
        <c:axId val="209424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32736"/>
        <c:crosses val="autoZero"/>
        <c:auto val="1"/>
        <c:lblAlgn val="ctr"/>
        <c:lblOffset val="100"/>
        <c:noMultiLvlLbl val="0"/>
      </c:catAx>
      <c:valAx>
        <c:axId val="2094232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424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AVENIDA BARTOLOMEU GUSMÃO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'Bartolomeu Gusmão'!$F$2</c:f>
              <c:strCache>
                <c:ptCount val="1"/>
                <c:pt idx="0">
                  <c:v>Ruas 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'Bartolomeu Gusmão'!$G$1:$I$1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'Bartolomeu Gusmão'!$G$2:$I$2</c:f>
              <c:numCache>
                <c:formatCode>General</c:formatCode>
                <c:ptCount val="3"/>
                <c:pt idx="0">
                  <c:v>11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5-45FD-A33F-511B66B64CEB}"/>
            </c:ext>
          </c:extLst>
        </c:ser>
        <c:ser>
          <c:idx val="1"/>
          <c:order val="1"/>
          <c:tx>
            <c:strRef>
              <c:f>'Bartolomeu Gusmão'!$F$3</c:f>
              <c:strCache>
                <c:ptCount val="1"/>
                <c:pt idx="0">
                  <c:v>Ruas sem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'Bartolomeu Gusmão'!$G$1:$I$1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'Bartolomeu Gusmão'!$G$3:$I$3</c:f>
              <c:numCache>
                <c:formatCode>General</c:formatCode>
                <c:ptCount val="3"/>
                <c:pt idx="0">
                  <c:v>8</c:v>
                </c:pt>
                <c:pt idx="1">
                  <c:v>17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5-45FD-A33F-511B66B64C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94245216"/>
        <c:axId val="2094222336"/>
      </c:barChart>
      <c:catAx>
        <c:axId val="20942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22336"/>
        <c:crosses val="autoZero"/>
        <c:auto val="1"/>
        <c:lblAlgn val="ctr"/>
        <c:lblOffset val="100"/>
        <c:noMultiLvlLbl val="0"/>
      </c:catAx>
      <c:valAx>
        <c:axId val="2094222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424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AVENIDA ALMIRANTE SALDANHA DA GAMA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'Almirante Saldanha da Gama'!$F$2</c:f>
              <c:strCache>
                <c:ptCount val="1"/>
                <c:pt idx="0">
                  <c:v>Ruas 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'Almirante Saldanha da Gama'!$G$1:$I$1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'Almirante Saldanha da Gama'!$G$2:$I$2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C-497B-BA12-EC1548A62878}"/>
            </c:ext>
          </c:extLst>
        </c:ser>
        <c:ser>
          <c:idx val="1"/>
          <c:order val="1"/>
          <c:tx>
            <c:strRef>
              <c:f>'Almirante Saldanha da Gama'!$F$3</c:f>
              <c:strCache>
                <c:ptCount val="1"/>
                <c:pt idx="0">
                  <c:v>Ruas sem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'Almirante Saldanha da Gama'!$G$1:$I$1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'Almirante Saldanha da Gama'!$G$3:$I$3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C-497B-BA12-EC1548A628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94244384"/>
        <c:axId val="2094224416"/>
      </c:barChart>
      <c:catAx>
        <c:axId val="209424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24416"/>
        <c:crosses val="autoZero"/>
        <c:auto val="1"/>
        <c:lblAlgn val="ctr"/>
        <c:lblOffset val="100"/>
        <c:noMultiLvlLbl val="0"/>
      </c:catAx>
      <c:valAx>
        <c:axId val="2094224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42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AVENIDA ALMIRANTE SALDANHA DA GAMA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'Almirante Saldanha da Gama'!$F$2</c:f>
              <c:strCache>
                <c:ptCount val="1"/>
                <c:pt idx="0">
                  <c:v>Ruas 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'Almirante Saldanha da Gama'!$G$1:$I$1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'Almirante Saldanha da Gama'!$G$2:$I$2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2-43C8-A48D-E48863D78A91}"/>
            </c:ext>
          </c:extLst>
        </c:ser>
        <c:ser>
          <c:idx val="1"/>
          <c:order val="1"/>
          <c:tx>
            <c:strRef>
              <c:f>'Almirante Saldanha da Gama'!$F$3</c:f>
              <c:strCache>
                <c:ptCount val="1"/>
                <c:pt idx="0">
                  <c:v>Ruas sem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'Almirante Saldanha da Gama'!$G$1:$I$1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'Almirante Saldanha da Gama'!$G$3:$I$3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2-43C8-A48D-E48863D78A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94244384"/>
        <c:axId val="2094224416"/>
      </c:barChart>
      <c:catAx>
        <c:axId val="209424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24416"/>
        <c:crosses val="autoZero"/>
        <c:auto val="1"/>
        <c:lblAlgn val="ctr"/>
        <c:lblOffset val="100"/>
        <c:noMultiLvlLbl val="0"/>
      </c:catAx>
      <c:valAx>
        <c:axId val="2094224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42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AVENIDA NOSSA SENHORA DE FÁTIMA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'Nossa Senhora de Fátima'!$F$2</c:f>
              <c:strCache>
                <c:ptCount val="1"/>
                <c:pt idx="0">
                  <c:v>Ruas 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'Nossa Senhora de Fátima'!$G$1:$I$1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'Nossa Senhora de Fátima'!$G$2:$I$2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5-43AD-9613-50610233EFBE}"/>
            </c:ext>
          </c:extLst>
        </c:ser>
        <c:ser>
          <c:idx val="1"/>
          <c:order val="1"/>
          <c:tx>
            <c:strRef>
              <c:f>'Nossa Senhora de Fátima'!$F$3</c:f>
              <c:strCache>
                <c:ptCount val="1"/>
                <c:pt idx="0">
                  <c:v>Ruas sem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'Nossa Senhora de Fátima'!$G$1:$I$1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'Nossa Senhora de Fátima'!$G$3:$I$3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5-43AD-9613-50610233EF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94241472"/>
        <c:axId val="2094232736"/>
      </c:barChart>
      <c:catAx>
        <c:axId val="209424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32736"/>
        <c:crosses val="autoZero"/>
        <c:auto val="1"/>
        <c:lblAlgn val="ctr"/>
        <c:lblOffset val="100"/>
        <c:noMultiLvlLbl val="0"/>
      </c:catAx>
      <c:valAx>
        <c:axId val="2094232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424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AVENIDA ALMIRANTE SALDANHA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'Almirante Saldanha da Gama'!$F$2</c:f>
              <c:strCache>
                <c:ptCount val="1"/>
                <c:pt idx="0">
                  <c:v>Ruas 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'Almirante Saldanha da Gama'!$G$1:$I$1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'Almirante Saldanha da Gama'!$G$2:$I$2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D-43B5-B4B7-895ADAEFB764}"/>
            </c:ext>
          </c:extLst>
        </c:ser>
        <c:ser>
          <c:idx val="1"/>
          <c:order val="1"/>
          <c:tx>
            <c:strRef>
              <c:f>'Almirante Saldanha da Gama'!$F$3</c:f>
              <c:strCache>
                <c:ptCount val="1"/>
                <c:pt idx="0">
                  <c:v>Ruas sem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'Almirante Saldanha da Gama'!$G$1:$I$1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'Almirante Saldanha da Gama'!$G$3:$I$3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D-43B5-B4B7-895ADAEFB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94244384"/>
        <c:axId val="2094224416"/>
      </c:barChart>
      <c:catAx>
        <c:axId val="209424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224416"/>
        <c:crosses val="autoZero"/>
        <c:auto val="1"/>
        <c:lblAlgn val="ctr"/>
        <c:lblOffset val="100"/>
        <c:noMultiLvlLbl val="0"/>
      </c:catAx>
      <c:valAx>
        <c:axId val="2094224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942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RESULTADO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RELATÓRIO!$A$2</c:f>
              <c:strCache>
                <c:ptCount val="1"/>
                <c:pt idx="0">
                  <c:v>Ruas 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RELATÓRIO!$B$1:$D$1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RELATÓRIO!$B$2:$D$2</c:f>
              <c:numCache>
                <c:formatCode>General</c:formatCode>
                <c:ptCount val="3"/>
                <c:pt idx="0">
                  <c:v>26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4-4E7D-A219-5DCBBF42C1EB}"/>
            </c:ext>
          </c:extLst>
        </c:ser>
        <c:ser>
          <c:idx val="1"/>
          <c:order val="1"/>
          <c:tx>
            <c:strRef>
              <c:f>RELATÓRIO!$A$3</c:f>
              <c:strCache>
                <c:ptCount val="1"/>
                <c:pt idx="0">
                  <c:v>Ruas sem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RELATÓRIO!$B$1:$D$1</c:f>
              <c:strCache>
                <c:ptCount val="3"/>
                <c:pt idx="0">
                  <c:v>Sinalização Semafórica</c:v>
                </c:pt>
                <c:pt idx="1">
                  <c:v>Câmeras</c:v>
                </c:pt>
                <c:pt idx="2">
                  <c:v>Sinalização (Semáforo Inteligente)</c:v>
                </c:pt>
              </c:strCache>
            </c:strRef>
          </c:cat>
          <c:val>
            <c:numRef>
              <c:f>RELATÓRIO!$B$3:$D$3</c:f>
              <c:numCache>
                <c:formatCode>General</c:formatCode>
                <c:ptCount val="3"/>
                <c:pt idx="0">
                  <c:v>25</c:v>
                </c:pt>
                <c:pt idx="1">
                  <c:v>45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4-4E7D-A219-5DCBBF42C1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70454640"/>
        <c:axId val="1870457136"/>
      </c:barChart>
      <c:catAx>
        <c:axId val="187045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0457136"/>
        <c:crosses val="autoZero"/>
        <c:auto val="1"/>
        <c:lblAlgn val="ctr"/>
        <c:lblOffset val="100"/>
        <c:noMultiLvlLbl val="0"/>
      </c:catAx>
      <c:valAx>
        <c:axId val="1870457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045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39458</xdr:colOff>
      <xdr:row>3</xdr:row>
      <xdr:rowOff>140154</xdr:rowOff>
    </xdr:from>
    <xdr:to>
      <xdr:col>8</xdr:col>
      <xdr:colOff>2009775</xdr:colOff>
      <xdr:row>17</xdr:row>
      <xdr:rowOff>1361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72E531-68A3-440A-A536-7A76E54DE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3</xdr:row>
      <xdr:rowOff>128586</xdr:rowOff>
    </xdr:from>
    <xdr:to>
      <xdr:col>8</xdr:col>
      <xdr:colOff>1933574</xdr:colOff>
      <xdr:row>20</xdr:row>
      <xdr:rowOff>39051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908008-82C4-42FC-A8FD-803AE5014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</xdr:colOff>
      <xdr:row>3</xdr:row>
      <xdr:rowOff>157161</xdr:rowOff>
    </xdr:from>
    <xdr:to>
      <xdr:col>8</xdr:col>
      <xdr:colOff>2041525</xdr:colOff>
      <xdr:row>21</xdr:row>
      <xdr:rowOff>133349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6ADE23-A146-4D6B-B767-8DD24B2C5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1295400</xdr:colOff>
      <xdr:row>20</xdr:row>
      <xdr:rowOff>120017</xdr:rowOff>
    </xdr:from>
    <xdr:to>
      <xdr:col>9</xdr:col>
      <xdr:colOff>457200</xdr:colOff>
      <xdr:row>34</xdr:row>
      <xdr:rowOff>13337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ADB898-D9DD-43D1-857F-BC76B42D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20</xdr:row>
      <xdr:rowOff>142875</xdr:rowOff>
    </xdr:from>
    <xdr:to>
      <xdr:col>3</xdr:col>
      <xdr:colOff>1200150</xdr:colOff>
      <xdr:row>34</xdr:row>
      <xdr:rowOff>4082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0F4817-1B21-48B4-A147-A5D62D875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561975</xdr:colOff>
      <xdr:row>20</xdr:row>
      <xdr:rowOff>114300</xdr:rowOff>
    </xdr:from>
    <xdr:to>
      <xdr:col>16</xdr:col>
      <xdr:colOff>457200</xdr:colOff>
      <xdr:row>33</xdr:row>
      <xdr:rowOff>135255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7EF5AD-1C52-4E53-90E0-D74B0C14F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3</xdr:row>
      <xdr:rowOff>157162</xdr:rowOff>
    </xdr:from>
    <xdr:to>
      <xdr:col>3</xdr:col>
      <xdr:colOff>1752600</xdr:colOff>
      <xdr:row>19</xdr:row>
      <xdr:rowOff>166687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0F37F85-8C08-414A-A56B-C9DA30B98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4A724-357D-4269-8E78-479B853BF75D}" name="Tabela1" displayName="Tabela1" ref="A1:D28" totalsRowShown="0" headerRowDxfId="49" dataDxfId="47" headerRowBorderDxfId="48" tableBorderDxfId="46">
  <autoFilter ref="A1:D28" xr:uid="{24D4A724-357D-4269-8E78-479B853BF75D}"/>
  <tableColumns count="4">
    <tableColumn id="1" xr3:uid="{3AB3BFE6-6CC5-4342-AA61-3196B7A6A599}" name="AVENIDA NOSSA SENHORA DE FÁTIMA" dataDxfId="45"/>
    <tableColumn id="2" xr3:uid="{B4AA71BE-AECD-4848-94DE-F14A42621C59}" name="Sinalização Semafórica" dataDxfId="44"/>
    <tableColumn id="3" xr3:uid="{389DB360-DF2B-4322-81BE-D9831F7181F1}" name="Presença de Câmeras" dataDxfId="43"/>
    <tableColumn id="4" xr3:uid="{E4BCC0C9-05DA-4832-9299-881C380261C7}" name="Sinalização (Semáforo Inteligente)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9E5047-B3E3-459F-AFBB-7AD6A9ECBBAD}" name="Tabela589" displayName="Tabela589" ref="F1:I3" totalsRowShown="0" headerRowDxfId="41" dataDxfId="40">
  <autoFilter ref="F1:I3" xr:uid="{CE9E5047-B3E3-459F-AFBB-7AD6A9ECBBAD}"/>
  <tableColumns count="4">
    <tableColumn id="1" xr3:uid="{8344025B-7A79-4056-A13E-72CF1F7552B5}" name="PRESENÇA" dataDxfId="39"/>
    <tableColumn id="2" xr3:uid="{2491A49F-7E0F-4044-84EC-F547196F48D1}" name="Sinalização Semafórica" dataDxfId="38"/>
    <tableColumn id="3" xr3:uid="{8207E09B-E7B2-4249-B39E-534E4E38E142}" name="Câmeras" dataDxfId="37"/>
    <tableColumn id="4" xr3:uid="{6EF99A7C-FE86-4CED-BE3B-BA66D2DFBB76}" name="Sinalização (Semáforo Inteligente)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66F3D3-90B1-4692-9BB4-F6A4715C1895}" name="Tabela2" displayName="Tabela2" ref="A1:D20" totalsRowShown="0" headerRowDxfId="34" dataDxfId="32" headerRowBorderDxfId="33" tableBorderDxfId="31">
  <autoFilter ref="A1:D20" xr:uid="{9F66F3D3-90B1-4692-9BB4-F6A4715C1895}"/>
  <tableColumns count="4">
    <tableColumn id="1" xr3:uid="{A0499230-4895-487C-BC3B-A25E0390DCDB}" name="AVENIDA BARTOLOMEU GUSMÃO" dataDxfId="30"/>
    <tableColumn id="2" xr3:uid="{000E0D6D-3CE6-4FC3-9F2D-1715ACCBBEF2}" name="Sinalização Semafórica" dataDxfId="29"/>
    <tableColumn id="3" xr3:uid="{578DE126-D944-4391-9A4B-5FC4F698914D}" name="Presença de Câmeras" dataDxfId="28"/>
    <tableColumn id="4" xr3:uid="{42E1B1B7-710C-4296-81B6-CBE1A41CC2AF}" name="Sinalização (Semáforo Inteligente)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42E913-7D7C-4AFE-9EEF-FAF6FF2F5DAE}" name="Tabela58" displayName="Tabela58" ref="F1:I3" totalsRowShown="0" headerRowDxfId="26" dataDxfId="25">
  <autoFilter ref="F1:I3" xr:uid="{6242E913-7D7C-4AFE-9EEF-FAF6FF2F5DAE}"/>
  <tableColumns count="4">
    <tableColumn id="1" xr3:uid="{83397E20-5C58-4FD8-A36B-9F276E1CC509}" name="PRESENÇA" dataDxfId="24"/>
    <tableColumn id="2" xr3:uid="{3ECE8BCB-9B70-4D04-B89B-C6336E7C1851}" name="Sinalização Semafórica" dataDxfId="23"/>
    <tableColumn id="3" xr3:uid="{78501715-2BB7-43DA-A39D-EEE0480048B8}" name="Câmeras" dataDxfId="22"/>
    <tableColumn id="4" xr3:uid="{2C3CA520-2C00-427F-954F-370299950394}" name="Sinalização (Semáforo Inteligente)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01B14B-8374-493C-925A-F13E72488A26}" name="Tabela3" displayName="Tabela3" ref="A1:D6" totalsRowShown="0" headerRowDxfId="19" dataDxfId="17" headerRowBorderDxfId="18" tableBorderDxfId="16">
  <autoFilter ref="A1:D6" xr:uid="{2001B14B-8374-493C-925A-F13E72488A26}"/>
  <tableColumns count="4">
    <tableColumn id="1" xr3:uid="{7968676D-108D-414C-A219-0B932449D56A}" name="AVENIDA ALMIRANTE SALDANHA DA GAMA" dataDxfId="15"/>
    <tableColumn id="2" xr3:uid="{F4FE5AB5-B9B5-4393-BFB8-09D3D4F8B2F3}" name="Sinalização Semafórica" dataDxfId="14"/>
    <tableColumn id="3" xr3:uid="{25FA28D3-0E01-4EB9-9299-24130A899745}" name="Presença de Câmeras" dataDxfId="13"/>
    <tableColumn id="4" xr3:uid="{13D97535-5738-4BE4-924A-D10EDCF18C25}" name="Sinalização (Semáforo Inteligente)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EEE961-4D6A-43ED-972C-EDC582768D92}" name="Tabela5810" displayName="Tabela5810" ref="F1:I3" totalsRowShown="0" headerRowDxfId="11" dataDxfId="10">
  <autoFilter ref="F1:I3" xr:uid="{DFEEE961-4D6A-43ED-972C-EDC582768D92}"/>
  <tableColumns count="4">
    <tableColumn id="1" xr3:uid="{4445028A-A277-4C67-B96D-1A7A9A9D4C6F}" name="PRESENÇA" dataDxfId="9"/>
    <tableColumn id="2" xr3:uid="{A286AADE-7EB4-4E2B-B907-CF1F6026E2E6}" name="Sinalização Semafórica" dataDxfId="8"/>
    <tableColumn id="3" xr3:uid="{278644A6-5FAA-43E0-B234-0D20360D9083}" name="Câmeras" dataDxfId="7"/>
    <tableColumn id="4" xr3:uid="{091BE4E7-CFE7-4EAA-AA47-6ECF7330D2C5}" name="Sinalização (Semáforo Inteligente)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D1F541-9380-4F72-A486-CE98041D98D6}" name="Tabela58912" displayName="Tabela58912" ref="A1:D3" totalsRowShown="0" headerRowDxfId="5" dataDxfId="4">
  <autoFilter ref="A1:D3" xr:uid="{7ED1F541-9380-4F72-A486-CE98041D98D6}"/>
  <tableColumns count="4">
    <tableColumn id="1" xr3:uid="{EBD36E56-635D-41D8-BA0D-371F9EE3FE8B}" name="PRESENÇA" dataDxfId="3"/>
    <tableColumn id="2" xr3:uid="{EAE49F33-7321-47AA-94B7-508483E27D38}" name="Sinalização Semafórica" dataDxfId="2"/>
    <tableColumn id="3" xr3:uid="{9C849BD6-F90D-4851-95FF-83AE19060C4F}" name="Câmeras" dataDxfId="1"/>
    <tableColumn id="4" xr3:uid="{4A639F28-F190-4CDB-BF1C-56568A7DA7C2}" name="Sinalização (Semáforo Inteligent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3ACC-40E6-4C11-905C-AFBEC1A77D43}">
  <dimension ref="A1:I30"/>
  <sheetViews>
    <sheetView zoomScaleNormal="100" workbookViewId="0">
      <selection activeCell="G21" sqref="G21"/>
    </sheetView>
  </sheetViews>
  <sheetFormatPr defaultRowHeight="12.75" x14ac:dyDescent="0.2"/>
  <cols>
    <col min="1" max="1" width="41.85546875" style="7" bestFit="1" customWidth="1"/>
    <col min="2" max="2" width="16.28515625" style="7" bestFit="1" customWidth="1"/>
    <col min="3" max="3" width="16.85546875" style="7" bestFit="1" customWidth="1"/>
    <col min="4" max="4" width="16.28515625" style="7" bestFit="1" customWidth="1"/>
    <col min="5" max="5" width="9.140625" style="7"/>
    <col min="6" max="6" width="15.7109375" style="7" bestFit="1" customWidth="1"/>
    <col min="7" max="7" width="16.28515625" style="7" bestFit="1" customWidth="1"/>
    <col min="8" max="8" width="13.5703125" style="7" bestFit="1" customWidth="1"/>
    <col min="9" max="9" width="26.7109375" style="7" bestFit="1" customWidth="1"/>
    <col min="10" max="16384" width="9.140625" style="7"/>
  </cols>
  <sheetData>
    <row r="1" spans="1:9" ht="38.25" x14ac:dyDescent="0.2">
      <c r="A1" s="1" t="s">
        <v>3</v>
      </c>
      <c r="B1" s="2" t="s">
        <v>0</v>
      </c>
      <c r="C1" s="2" t="s">
        <v>1</v>
      </c>
      <c r="D1" s="2" t="s">
        <v>2</v>
      </c>
      <c r="E1" s="5"/>
      <c r="F1" s="6" t="s">
        <v>58</v>
      </c>
      <c r="G1" s="2" t="s">
        <v>0</v>
      </c>
      <c r="H1" s="2" t="s">
        <v>59</v>
      </c>
      <c r="I1" s="2" t="s">
        <v>2</v>
      </c>
    </row>
    <row r="2" spans="1:9" x14ac:dyDescent="0.2">
      <c r="A2" s="3" t="s">
        <v>4</v>
      </c>
      <c r="B2" s="4" t="s">
        <v>30</v>
      </c>
      <c r="C2" s="4" t="s">
        <v>30</v>
      </c>
      <c r="D2" s="4" t="s">
        <v>31</v>
      </c>
      <c r="E2" s="5"/>
      <c r="F2" s="7" t="s">
        <v>60</v>
      </c>
      <c r="G2" s="7">
        <f>COUNTIF(B:B, "SIM")</f>
        <v>13</v>
      </c>
      <c r="H2" s="7">
        <f>COUNTIF(C:C, "SIM")</f>
        <v>3</v>
      </c>
      <c r="I2" s="7">
        <f>COUNTIF(D:D, "SIM")</f>
        <v>0</v>
      </c>
    </row>
    <row r="3" spans="1:9" x14ac:dyDescent="0.2">
      <c r="A3" s="3" t="s">
        <v>5</v>
      </c>
      <c r="B3" s="4" t="s">
        <v>31</v>
      </c>
      <c r="C3" s="4" t="s">
        <v>31</v>
      </c>
      <c r="D3" s="4" t="s">
        <v>31</v>
      </c>
      <c r="E3" s="5"/>
      <c r="F3" s="7" t="s">
        <v>61</v>
      </c>
      <c r="G3" s="7">
        <f>COUNTIF(B:B, "NÃO")</f>
        <v>14</v>
      </c>
      <c r="H3" s="7">
        <f>COUNTIF(C:C, "NÃO")</f>
        <v>24</v>
      </c>
      <c r="I3" s="7">
        <f>COUNTIF(D:D, "NÃO")</f>
        <v>27</v>
      </c>
    </row>
    <row r="4" spans="1:9" x14ac:dyDescent="0.2">
      <c r="A4" s="3" t="s">
        <v>6</v>
      </c>
      <c r="B4" s="4" t="s">
        <v>30</v>
      </c>
      <c r="C4" s="4" t="s">
        <v>31</v>
      </c>
      <c r="D4" s="4" t="s">
        <v>31</v>
      </c>
      <c r="E4" s="5"/>
    </row>
    <row r="5" spans="1:9" x14ac:dyDescent="0.2">
      <c r="A5" s="3" t="s">
        <v>7</v>
      </c>
      <c r="B5" s="4" t="s">
        <v>30</v>
      </c>
      <c r="C5" s="4" t="s">
        <v>31</v>
      </c>
      <c r="D5" s="4" t="s">
        <v>31</v>
      </c>
      <c r="E5" s="5"/>
    </row>
    <row r="6" spans="1:9" x14ac:dyDescent="0.2">
      <c r="A6" s="3" t="s">
        <v>8</v>
      </c>
      <c r="B6" s="4" t="s">
        <v>30</v>
      </c>
      <c r="C6" s="4" t="s">
        <v>31</v>
      </c>
      <c r="D6" s="4" t="s">
        <v>31</v>
      </c>
      <c r="E6" s="5"/>
    </row>
    <row r="7" spans="1:9" x14ac:dyDescent="0.2">
      <c r="A7" s="3" t="s">
        <v>9</v>
      </c>
      <c r="B7" s="4" t="s">
        <v>30</v>
      </c>
      <c r="C7" s="4" t="s">
        <v>31</v>
      </c>
      <c r="D7" s="4" t="s">
        <v>31</v>
      </c>
      <c r="E7" s="5"/>
    </row>
    <row r="8" spans="1:9" x14ac:dyDescent="0.2">
      <c r="A8" s="3" t="s">
        <v>10</v>
      </c>
      <c r="B8" s="4" t="s">
        <v>30</v>
      </c>
      <c r="C8" s="4" t="s">
        <v>31</v>
      </c>
      <c r="D8" s="4" t="s">
        <v>31</v>
      </c>
      <c r="E8" s="5"/>
    </row>
    <row r="9" spans="1:9" x14ac:dyDescent="0.2">
      <c r="A9" s="3" t="s">
        <v>11</v>
      </c>
      <c r="B9" s="4" t="s">
        <v>31</v>
      </c>
      <c r="C9" s="4" t="s">
        <v>31</v>
      </c>
      <c r="D9" s="4" t="s">
        <v>31</v>
      </c>
      <c r="E9" s="5"/>
    </row>
    <row r="10" spans="1:9" x14ac:dyDescent="0.2">
      <c r="A10" s="3" t="s">
        <v>12</v>
      </c>
      <c r="B10" s="4" t="s">
        <v>30</v>
      </c>
      <c r="C10" s="4" t="s">
        <v>31</v>
      </c>
      <c r="D10" s="4" t="s">
        <v>31</v>
      </c>
      <c r="E10" s="5"/>
    </row>
    <row r="11" spans="1:9" x14ac:dyDescent="0.2">
      <c r="A11" s="3" t="s">
        <v>13</v>
      </c>
      <c r="B11" s="4" t="s">
        <v>31</v>
      </c>
      <c r="C11" s="4" t="s">
        <v>31</v>
      </c>
      <c r="D11" s="4" t="s">
        <v>31</v>
      </c>
      <c r="E11" s="5"/>
    </row>
    <row r="12" spans="1:9" x14ac:dyDescent="0.2">
      <c r="A12" s="3" t="s">
        <v>14</v>
      </c>
      <c r="B12" s="4" t="s">
        <v>31</v>
      </c>
      <c r="C12" s="4" t="s">
        <v>31</v>
      </c>
      <c r="D12" s="4" t="s">
        <v>31</v>
      </c>
      <c r="E12" s="5"/>
    </row>
    <row r="13" spans="1:9" x14ac:dyDescent="0.2">
      <c r="A13" s="3" t="s">
        <v>15</v>
      </c>
      <c r="B13" s="4" t="s">
        <v>30</v>
      </c>
      <c r="C13" s="4" t="s">
        <v>31</v>
      </c>
      <c r="D13" s="4" t="s">
        <v>31</v>
      </c>
      <c r="E13" s="5"/>
    </row>
    <row r="14" spans="1:9" x14ac:dyDescent="0.2">
      <c r="A14" s="3" t="s">
        <v>16</v>
      </c>
      <c r="B14" s="4" t="s">
        <v>31</v>
      </c>
      <c r="C14" s="4" t="s">
        <v>31</v>
      </c>
      <c r="D14" s="4" t="s">
        <v>31</v>
      </c>
      <c r="E14" s="5"/>
    </row>
    <row r="15" spans="1:9" x14ac:dyDescent="0.2">
      <c r="A15" s="3" t="s">
        <v>17</v>
      </c>
      <c r="B15" s="4" t="s">
        <v>31</v>
      </c>
      <c r="C15" s="4" t="s">
        <v>31</v>
      </c>
      <c r="D15" s="4" t="s">
        <v>31</v>
      </c>
      <c r="E15" s="5"/>
    </row>
    <row r="16" spans="1:9" x14ac:dyDescent="0.2">
      <c r="A16" s="3" t="s">
        <v>18</v>
      </c>
      <c r="B16" s="4" t="s">
        <v>31</v>
      </c>
      <c r="C16" s="4" t="s">
        <v>31</v>
      </c>
      <c r="D16" s="4" t="s">
        <v>31</v>
      </c>
      <c r="E16" s="5"/>
    </row>
    <row r="17" spans="1:5" x14ac:dyDescent="0.2">
      <c r="A17" s="3" t="s">
        <v>19</v>
      </c>
      <c r="B17" s="4" t="s">
        <v>30</v>
      </c>
      <c r="C17" s="4" t="s">
        <v>30</v>
      </c>
      <c r="D17" s="4" t="s">
        <v>31</v>
      </c>
      <c r="E17" s="5"/>
    </row>
    <row r="18" spans="1:5" x14ac:dyDescent="0.2">
      <c r="A18" s="3" t="s">
        <v>20</v>
      </c>
      <c r="B18" s="4" t="s">
        <v>30</v>
      </c>
      <c r="C18" s="4" t="s">
        <v>31</v>
      </c>
      <c r="D18" s="4" t="s">
        <v>31</v>
      </c>
      <c r="E18" s="5"/>
    </row>
    <row r="19" spans="1:5" x14ac:dyDescent="0.2">
      <c r="A19" s="3" t="s">
        <v>21</v>
      </c>
      <c r="B19" s="4" t="s">
        <v>31</v>
      </c>
      <c r="C19" s="4" t="s">
        <v>31</v>
      </c>
      <c r="D19" s="4" t="s">
        <v>31</v>
      </c>
      <c r="E19" s="5"/>
    </row>
    <row r="20" spans="1:5" x14ac:dyDescent="0.2">
      <c r="A20" s="3" t="s">
        <v>22</v>
      </c>
      <c r="B20" s="4" t="s">
        <v>31</v>
      </c>
      <c r="C20" s="4" t="s">
        <v>31</v>
      </c>
      <c r="D20" s="4" t="s">
        <v>31</v>
      </c>
      <c r="E20" s="5"/>
    </row>
    <row r="21" spans="1:5" x14ac:dyDescent="0.2">
      <c r="A21" s="3" t="s">
        <v>23</v>
      </c>
      <c r="B21" s="4" t="s">
        <v>30</v>
      </c>
      <c r="C21" s="4" t="s">
        <v>31</v>
      </c>
      <c r="D21" s="4" t="s">
        <v>31</v>
      </c>
      <c r="E21" s="5"/>
    </row>
    <row r="22" spans="1:5" x14ac:dyDescent="0.2">
      <c r="A22" s="3" t="s">
        <v>24</v>
      </c>
      <c r="B22" s="4" t="s">
        <v>31</v>
      </c>
      <c r="C22" s="4" t="s">
        <v>31</v>
      </c>
      <c r="D22" s="4" t="s">
        <v>31</v>
      </c>
      <c r="E22" s="5"/>
    </row>
    <row r="23" spans="1:5" x14ac:dyDescent="0.2">
      <c r="A23" s="3" t="s">
        <v>25</v>
      </c>
      <c r="B23" s="4" t="s">
        <v>31</v>
      </c>
      <c r="C23" s="4" t="s">
        <v>31</v>
      </c>
      <c r="D23" s="4" t="s">
        <v>31</v>
      </c>
      <c r="E23" s="5"/>
    </row>
    <row r="24" spans="1:5" x14ac:dyDescent="0.2">
      <c r="A24" s="3" t="s">
        <v>26</v>
      </c>
      <c r="B24" s="4" t="s">
        <v>31</v>
      </c>
      <c r="C24" s="4" t="s">
        <v>31</v>
      </c>
      <c r="D24" s="4" t="s">
        <v>31</v>
      </c>
      <c r="E24" s="5"/>
    </row>
    <row r="25" spans="1:5" x14ac:dyDescent="0.2">
      <c r="A25" s="3" t="s">
        <v>27</v>
      </c>
      <c r="B25" s="4" t="s">
        <v>30</v>
      </c>
      <c r="C25" s="4" t="s">
        <v>31</v>
      </c>
      <c r="D25" s="4" t="s">
        <v>31</v>
      </c>
      <c r="E25" s="5"/>
    </row>
    <row r="26" spans="1:5" x14ac:dyDescent="0.2">
      <c r="A26" s="3" t="s">
        <v>28</v>
      </c>
      <c r="B26" s="4" t="s">
        <v>31</v>
      </c>
      <c r="C26" s="4" t="s">
        <v>31</v>
      </c>
      <c r="D26" s="4" t="s">
        <v>31</v>
      </c>
      <c r="E26" s="5"/>
    </row>
    <row r="27" spans="1:5" x14ac:dyDescent="0.2">
      <c r="A27" s="3" t="s">
        <v>29</v>
      </c>
      <c r="B27" s="4" t="s">
        <v>31</v>
      </c>
      <c r="C27" s="4" t="s">
        <v>31</v>
      </c>
      <c r="D27" s="4" t="s">
        <v>31</v>
      </c>
      <c r="E27" s="5"/>
    </row>
    <row r="28" spans="1:5" x14ac:dyDescent="0.2">
      <c r="A28" s="3" t="s">
        <v>57</v>
      </c>
      <c r="B28" s="4" t="s">
        <v>30</v>
      </c>
      <c r="C28" s="4" t="s">
        <v>30</v>
      </c>
      <c r="D28" s="4" t="s">
        <v>31</v>
      </c>
      <c r="E28" s="5"/>
    </row>
    <row r="29" spans="1:5" x14ac:dyDescent="0.2">
      <c r="A29" s="5"/>
      <c r="B29" s="5"/>
      <c r="C29" s="5"/>
      <c r="D29" s="5"/>
      <c r="E29" s="5"/>
    </row>
    <row r="30" spans="1:5" x14ac:dyDescent="0.2">
      <c r="A30" s="5"/>
      <c r="B30" s="5"/>
      <c r="C30" s="5"/>
      <c r="D30" s="5"/>
      <c r="E30" s="5"/>
    </row>
  </sheetData>
  <sheetProtection sheet="1" objects="1" scenarios="1"/>
  <phoneticPr fontId="1" type="noConversion"/>
  <conditionalFormatting sqref="B1:D28">
    <cfRule type="containsText" dxfId="50" priority="1" operator="containsText" text="NÃO">
      <formula>NOT(ISERROR(SEARCH("NÃO",B1)))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5EED-2835-4543-92F0-A61905AA8823}">
  <dimension ref="A1:I20"/>
  <sheetViews>
    <sheetView zoomScaleNormal="100" workbookViewId="0">
      <selection activeCell="F2" sqref="F2:I3"/>
    </sheetView>
  </sheetViews>
  <sheetFormatPr defaultRowHeight="12.75" x14ac:dyDescent="0.2"/>
  <cols>
    <col min="1" max="1" width="36.85546875" style="7" bestFit="1" customWidth="1"/>
    <col min="2" max="2" width="16.28515625" style="7" bestFit="1" customWidth="1"/>
    <col min="3" max="3" width="16.85546875" style="7" bestFit="1" customWidth="1"/>
    <col min="4" max="4" width="16.28515625" style="7" bestFit="1" customWidth="1"/>
    <col min="5" max="5" width="9.140625" style="7" customWidth="1"/>
    <col min="6" max="6" width="15.5703125" style="7" bestFit="1" customWidth="1"/>
    <col min="7" max="7" width="16.28515625" style="7" bestFit="1" customWidth="1"/>
    <col min="8" max="8" width="13.5703125" style="7" bestFit="1" customWidth="1"/>
    <col min="9" max="9" width="26.7109375" style="7" bestFit="1" customWidth="1"/>
    <col min="10" max="11" width="9.140625" style="7"/>
    <col min="12" max="12" width="9.140625" style="7" customWidth="1"/>
    <col min="13" max="16384" width="9.140625" style="7"/>
  </cols>
  <sheetData>
    <row r="1" spans="1:9" ht="38.25" x14ac:dyDescent="0.2">
      <c r="A1" s="1" t="s">
        <v>32</v>
      </c>
      <c r="B1" s="2" t="s">
        <v>0</v>
      </c>
      <c r="C1" s="2" t="s">
        <v>1</v>
      </c>
      <c r="D1" s="2" t="s">
        <v>2</v>
      </c>
      <c r="F1" s="6" t="s">
        <v>58</v>
      </c>
      <c r="G1" s="2" t="s">
        <v>0</v>
      </c>
      <c r="H1" s="2" t="s">
        <v>59</v>
      </c>
      <c r="I1" s="2" t="s">
        <v>2</v>
      </c>
    </row>
    <row r="2" spans="1:9" x14ac:dyDescent="0.2">
      <c r="A2" s="3" t="s">
        <v>33</v>
      </c>
      <c r="B2" s="4" t="s">
        <v>30</v>
      </c>
      <c r="C2" s="4" t="s">
        <v>30</v>
      </c>
      <c r="D2" s="4" t="s">
        <v>31</v>
      </c>
      <c r="F2" s="7" t="s">
        <v>60</v>
      </c>
      <c r="G2" s="7">
        <f>COUNTIF(B:B, "SIM")</f>
        <v>11</v>
      </c>
      <c r="H2" s="7">
        <f>COUNTIF(C:C, "SIM")</f>
        <v>2</v>
      </c>
      <c r="I2" s="7">
        <f>COUNTIF(D:D, "SIM")</f>
        <v>0</v>
      </c>
    </row>
    <row r="3" spans="1:9" x14ac:dyDescent="0.2">
      <c r="A3" s="3" t="s">
        <v>34</v>
      </c>
      <c r="B3" s="4" t="s">
        <v>30</v>
      </c>
      <c r="C3" s="4" t="s">
        <v>31</v>
      </c>
      <c r="D3" s="4" t="s">
        <v>31</v>
      </c>
      <c r="F3" s="7" t="s">
        <v>61</v>
      </c>
      <c r="G3" s="7">
        <f>COUNTIF(B:B, "NÃO")</f>
        <v>8</v>
      </c>
      <c r="H3" s="7">
        <f>COUNTIF(C:C, "NÃO")</f>
        <v>17</v>
      </c>
      <c r="I3" s="7">
        <f>COUNTIF(D:D, "NÃO")</f>
        <v>19</v>
      </c>
    </row>
    <row r="4" spans="1:9" x14ac:dyDescent="0.2">
      <c r="A4" s="3" t="s">
        <v>35</v>
      </c>
      <c r="B4" s="4" t="s">
        <v>31</v>
      </c>
      <c r="C4" s="4" t="s">
        <v>31</v>
      </c>
      <c r="D4" s="4" t="s">
        <v>31</v>
      </c>
    </row>
    <row r="5" spans="1:9" x14ac:dyDescent="0.2">
      <c r="A5" s="3" t="s">
        <v>36</v>
      </c>
      <c r="B5" s="4" t="s">
        <v>30</v>
      </c>
      <c r="C5" s="4" t="s">
        <v>31</v>
      </c>
      <c r="D5" s="4" t="s">
        <v>31</v>
      </c>
    </row>
    <row r="6" spans="1:9" x14ac:dyDescent="0.2">
      <c r="A6" s="3" t="s">
        <v>37</v>
      </c>
      <c r="B6" s="4" t="s">
        <v>31</v>
      </c>
      <c r="C6" s="4" t="s">
        <v>31</v>
      </c>
      <c r="D6" s="4" t="s">
        <v>31</v>
      </c>
    </row>
    <row r="7" spans="1:9" x14ac:dyDescent="0.2">
      <c r="A7" s="3" t="s">
        <v>38</v>
      </c>
      <c r="B7" s="4" t="s">
        <v>30</v>
      </c>
      <c r="C7" s="4" t="s">
        <v>30</v>
      </c>
      <c r="D7" s="4" t="s">
        <v>31</v>
      </c>
    </row>
    <row r="8" spans="1:9" x14ac:dyDescent="0.2">
      <c r="A8" s="3" t="s">
        <v>39</v>
      </c>
      <c r="B8" s="4" t="s">
        <v>31</v>
      </c>
      <c r="C8" s="4" t="s">
        <v>31</v>
      </c>
      <c r="D8" s="4" t="s">
        <v>31</v>
      </c>
    </row>
    <row r="9" spans="1:9" x14ac:dyDescent="0.2">
      <c r="A9" s="3" t="s">
        <v>40</v>
      </c>
      <c r="B9" s="4" t="s">
        <v>30</v>
      </c>
      <c r="C9" s="4" t="s">
        <v>31</v>
      </c>
      <c r="D9" s="4" t="s">
        <v>31</v>
      </c>
    </row>
    <row r="10" spans="1:9" x14ac:dyDescent="0.2">
      <c r="A10" s="3" t="s">
        <v>41</v>
      </c>
      <c r="B10" s="4" t="s">
        <v>31</v>
      </c>
      <c r="C10" s="4" t="s">
        <v>31</v>
      </c>
      <c r="D10" s="4" t="s">
        <v>31</v>
      </c>
    </row>
    <row r="11" spans="1:9" x14ac:dyDescent="0.2">
      <c r="A11" s="3" t="s">
        <v>42</v>
      </c>
      <c r="B11" s="4" t="s">
        <v>31</v>
      </c>
      <c r="C11" s="4" t="s">
        <v>31</v>
      </c>
      <c r="D11" s="4" t="s">
        <v>31</v>
      </c>
    </row>
    <row r="12" spans="1:9" x14ac:dyDescent="0.2">
      <c r="A12" s="3" t="s">
        <v>43</v>
      </c>
      <c r="B12" s="4" t="s">
        <v>31</v>
      </c>
      <c r="C12" s="4" t="s">
        <v>31</v>
      </c>
      <c r="D12" s="4" t="s">
        <v>31</v>
      </c>
    </row>
    <row r="13" spans="1:9" x14ac:dyDescent="0.2">
      <c r="A13" s="3" t="s">
        <v>44</v>
      </c>
      <c r="B13" s="4" t="s">
        <v>30</v>
      </c>
      <c r="C13" s="4" t="s">
        <v>31</v>
      </c>
      <c r="D13" s="4" t="s">
        <v>31</v>
      </c>
    </row>
    <row r="14" spans="1:9" x14ac:dyDescent="0.2">
      <c r="A14" s="3" t="s">
        <v>45</v>
      </c>
      <c r="B14" s="4" t="s">
        <v>30</v>
      </c>
      <c r="C14" s="4" t="s">
        <v>31</v>
      </c>
      <c r="D14" s="4" t="s">
        <v>31</v>
      </c>
    </row>
    <row r="15" spans="1:9" x14ac:dyDescent="0.2">
      <c r="A15" s="3" t="s">
        <v>46</v>
      </c>
      <c r="B15" s="4" t="s">
        <v>31</v>
      </c>
      <c r="C15" s="4" t="s">
        <v>31</v>
      </c>
      <c r="D15" s="4" t="s">
        <v>31</v>
      </c>
    </row>
    <row r="16" spans="1:9" x14ac:dyDescent="0.2">
      <c r="A16" s="3" t="s">
        <v>47</v>
      </c>
      <c r="B16" s="4" t="s">
        <v>30</v>
      </c>
      <c r="C16" s="4" t="s">
        <v>31</v>
      </c>
      <c r="D16" s="4" t="s">
        <v>31</v>
      </c>
    </row>
    <row r="17" spans="1:4" x14ac:dyDescent="0.2">
      <c r="A17" s="3" t="s">
        <v>48</v>
      </c>
      <c r="B17" s="4" t="s">
        <v>31</v>
      </c>
      <c r="C17" s="4" t="s">
        <v>31</v>
      </c>
      <c r="D17" s="4" t="s">
        <v>31</v>
      </c>
    </row>
    <row r="18" spans="1:4" x14ac:dyDescent="0.2">
      <c r="A18" s="3" t="s">
        <v>49</v>
      </c>
      <c r="B18" s="4" t="s">
        <v>30</v>
      </c>
      <c r="C18" s="4" t="s">
        <v>31</v>
      </c>
      <c r="D18" s="4" t="s">
        <v>31</v>
      </c>
    </row>
    <row r="19" spans="1:4" x14ac:dyDescent="0.2">
      <c r="A19" s="3" t="s">
        <v>50</v>
      </c>
      <c r="B19" s="4" t="s">
        <v>30</v>
      </c>
      <c r="C19" s="4" t="s">
        <v>31</v>
      </c>
      <c r="D19" s="4" t="s">
        <v>31</v>
      </c>
    </row>
    <row r="20" spans="1:4" x14ac:dyDescent="0.2">
      <c r="A20" s="3" t="s">
        <v>51</v>
      </c>
      <c r="B20" s="4" t="s">
        <v>30</v>
      </c>
      <c r="C20" s="4" t="s">
        <v>31</v>
      </c>
      <c r="D20" s="4" t="s">
        <v>31</v>
      </c>
    </row>
  </sheetData>
  <sheetProtection sheet="1" objects="1" scenarios="1"/>
  <conditionalFormatting sqref="B1:D20">
    <cfRule type="containsText" dxfId="35" priority="1" operator="containsText" text="NÃO">
      <formula>NOT(ISERROR(SEARCH("NÃO",B1)))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2806-A35E-47C8-BA01-DA8B1ACCE87B}">
  <dimension ref="A1:I6"/>
  <sheetViews>
    <sheetView zoomScaleNormal="100" workbookViewId="0">
      <selection activeCell="C21" sqref="C21"/>
    </sheetView>
  </sheetViews>
  <sheetFormatPr defaultRowHeight="12.75" x14ac:dyDescent="0.2"/>
  <cols>
    <col min="1" max="1" width="46" style="7" bestFit="1" customWidth="1"/>
    <col min="2" max="2" width="16.28515625" style="7" bestFit="1" customWidth="1"/>
    <col min="3" max="3" width="16.85546875" style="7" bestFit="1" customWidth="1"/>
    <col min="4" max="4" width="16.28515625" style="7" bestFit="1" customWidth="1"/>
    <col min="5" max="5" width="9.140625" style="7" customWidth="1"/>
    <col min="6" max="6" width="15.5703125" style="7" bestFit="1" customWidth="1"/>
    <col min="7" max="7" width="16.28515625" style="7" bestFit="1" customWidth="1"/>
    <col min="8" max="8" width="13.5703125" style="7" bestFit="1" customWidth="1"/>
    <col min="9" max="9" width="26.7109375" style="7" bestFit="1" customWidth="1"/>
    <col min="10" max="11" width="9.140625" style="7"/>
    <col min="12" max="12" width="9.140625" style="7" customWidth="1"/>
    <col min="13" max="16384" width="9.140625" style="7"/>
  </cols>
  <sheetData>
    <row r="1" spans="1:9" ht="38.25" x14ac:dyDescent="0.2">
      <c r="A1" s="1" t="s">
        <v>62</v>
      </c>
      <c r="B1" s="2" t="s">
        <v>0</v>
      </c>
      <c r="C1" s="2" t="s">
        <v>1</v>
      </c>
      <c r="D1" s="2" t="s">
        <v>2</v>
      </c>
      <c r="F1" s="6" t="s">
        <v>58</v>
      </c>
      <c r="G1" s="2" t="s">
        <v>0</v>
      </c>
      <c r="H1" s="2" t="s">
        <v>59</v>
      </c>
      <c r="I1" s="2" t="s">
        <v>2</v>
      </c>
    </row>
    <row r="2" spans="1:9" x14ac:dyDescent="0.2">
      <c r="A2" s="3" t="s">
        <v>52</v>
      </c>
      <c r="B2" s="4" t="s">
        <v>31</v>
      </c>
      <c r="C2" s="4" t="s">
        <v>31</v>
      </c>
      <c r="D2" s="4" t="s">
        <v>31</v>
      </c>
      <c r="F2" s="7" t="s">
        <v>60</v>
      </c>
      <c r="G2" s="7">
        <f>COUNTIF(B:B, "SIM")</f>
        <v>2</v>
      </c>
      <c r="H2" s="7">
        <f>COUNTIF(C:C, "SIM")</f>
        <v>1</v>
      </c>
      <c r="I2" s="7">
        <f>COUNTIF(D:D, "SIM")</f>
        <v>0</v>
      </c>
    </row>
    <row r="3" spans="1:9" x14ac:dyDescent="0.2">
      <c r="A3" s="3" t="s">
        <v>53</v>
      </c>
      <c r="B3" s="4" t="s">
        <v>30</v>
      </c>
      <c r="C3" s="4" t="s">
        <v>30</v>
      </c>
      <c r="D3" s="4" t="s">
        <v>31</v>
      </c>
      <c r="F3" s="7" t="s">
        <v>61</v>
      </c>
      <c r="G3" s="7">
        <f>COUNTIF(B:B, "NÃO")</f>
        <v>3</v>
      </c>
      <c r="H3" s="7">
        <f>COUNTIF(C:C, "NÃO")</f>
        <v>4</v>
      </c>
      <c r="I3" s="7">
        <f>COUNTIF(D:D, "NÃO")</f>
        <v>5</v>
      </c>
    </row>
    <row r="4" spans="1:9" x14ac:dyDescent="0.2">
      <c r="A4" s="3" t="s">
        <v>54</v>
      </c>
      <c r="B4" s="4" t="s">
        <v>31</v>
      </c>
      <c r="C4" s="4" t="s">
        <v>31</v>
      </c>
      <c r="D4" s="4" t="s">
        <v>31</v>
      </c>
    </row>
    <row r="5" spans="1:9" x14ac:dyDescent="0.2">
      <c r="A5" s="3" t="s">
        <v>55</v>
      </c>
      <c r="B5" s="4" t="s">
        <v>30</v>
      </c>
      <c r="C5" s="4" t="s">
        <v>31</v>
      </c>
      <c r="D5" s="4" t="s">
        <v>31</v>
      </c>
    </row>
    <row r="6" spans="1:9" x14ac:dyDescent="0.2">
      <c r="A6" s="3" t="s">
        <v>56</v>
      </c>
      <c r="B6" s="4" t="s">
        <v>31</v>
      </c>
      <c r="C6" s="4" t="s">
        <v>31</v>
      </c>
      <c r="D6" s="4" t="s">
        <v>31</v>
      </c>
    </row>
  </sheetData>
  <sheetProtection sheet="1" objects="1" scenarios="1"/>
  <conditionalFormatting sqref="B1:D6">
    <cfRule type="containsText" dxfId="20" priority="1" operator="containsText" text="NÃO">
      <formula>NOT(ISERROR(SEARCH("NÃO",B1)))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4455-F69D-4F42-8E03-B68218BA841B}">
  <dimension ref="A1:D3"/>
  <sheetViews>
    <sheetView tabSelected="1" workbookViewId="0">
      <selection activeCell="I16" sqref="I16"/>
    </sheetView>
  </sheetViews>
  <sheetFormatPr defaultRowHeight="12.75" x14ac:dyDescent="0.2"/>
  <cols>
    <col min="1" max="1" width="15.5703125" style="7" bestFit="1" customWidth="1"/>
    <col min="2" max="2" width="16.28515625" style="7" bestFit="1" customWidth="1"/>
    <col min="3" max="3" width="13.5703125" style="7" bestFit="1" customWidth="1"/>
    <col min="4" max="4" width="26.7109375" style="7" bestFit="1" customWidth="1"/>
    <col min="5" max="16384" width="9.140625" style="8"/>
  </cols>
  <sheetData>
    <row r="1" spans="1:4" ht="25.5" x14ac:dyDescent="0.2">
      <c r="A1" s="6" t="s">
        <v>58</v>
      </c>
      <c r="B1" s="2" t="s">
        <v>0</v>
      </c>
      <c r="C1" s="2" t="s">
        <v>59</v>
      </c>
      <c r="D1" s="2" t="s">
        <v>2</v>
      </c>
    </row>
    <row r="2" spans="1:4" x14ac:dyDescent="0.2">
      <c r="A2" s="7" t="s">
        <v>60</v>
      </c>
      <c r="B2" s="7">
        <f>SUM(Tabela589[[#This Row],[Sinalização Semafórica]], Tabela58[[#This Row],[Sinalização Semafórica]], Tabela5810[[#This Row],[Sinalização Semafórica]])</f>
        <v>26</v>
      </c>
      <c r="C2" s="7">
        <f>SUM(Tabela589[[#This Row],[Câmeras]], Tabela58[[#This Row],[Câmeras]], Tabela5810[[#This Row],[Câmeras]])</f>
        <v>6</v>
      </c>
      <c r="D2" s="7">
        <f>SUM(Tabela589[[#This Row],[Sinalização (Semáforo Inteligente)]],Tabela58[[#This Row],[Sinalização (Semáforo Inteligente)]],Tabela5810[[#This Row],[Sinalização (Semáforo Inteligente)]])</f>
        <v>0</v>
      </c>
    </row>
    <row r="3" spans="1:4" x14ac:dyDescent="0.2">
      <c r="A3" s="7" t="s">
        <v>61</v>
      </c>
      <c r="B3" s="7">
        <f>SUM(Tabela589[[#This Row],[Sinalização Semafórica]],Tabela58[[#This Row],[Sinalização Semafórica]],Tabela5810[[#This Row],[Sinalização Semafórica]])</f>
        <v>25</v>
      </c>
      <c r="C3" s="7">
        <f>SUM(Tabela589[[#This Row],[Câmeras]],Tabela58[[#This Row],[Câmeras]],Tabela5810[[#This Row],[Câmeras]])</f>
        <v>45</v>
      </c>
      <c r="D3" s="7">
        <f>SUM(Tabela589[[#This Row],[Sinalização (Semáforo Inteligente)]],Tabela58[[#This Row],[Sinalização (Semáforo Inteligente)]],Tabela5810[[#This Row],[Sinalização (Semáforo Inteligente)]])</f>
        <v>51</v>
      </c>
    </row>
  </sheetData>
  <sheetProtection sheet="1" objects="1" scenarios="1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Nossa Senhora de Fátima</vt:lpstr>
      <vt:lpstr>Bartolomeu Gusmão</vt:lpstr>
      <vt:lpstr>Almirante Saldanha da Gama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Hanada</cp:lastModifiedBy>
  <cp:lastPrinted>2021-09-22T21:16:33Z</cp:lastPrinted>
  <dcterms:created xsi:type="dcterms:W3CDTF">2021-09-14T18:01:27Z</dcterms:created>
  <dcterms:modified xsi:type="dcterms:W3CDTF">2021-09-27T18:22:28Z</dcterms:modified>
</cp:coreProperties>
</file>